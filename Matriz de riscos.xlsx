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 de Riscos" sheetId="1" state="visible" r:id="rId3"/>
    <sheet name="Tabela de severidade" sheetId="2" state="visible" r:id="rId4"/>
  </sheets>
  <definedNames>
    <definedName function="false" hidden="false" name="Ação" vbProcedure="false">'Planilha de Riscos'!$J$6:$J$65347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Número de Identificação do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Categoria que o risco se aplica.
Não existe lista fechada de categorias. Elas devem ser definidas pela equipe do projeto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5</xdr:row>
                <xdr:rowOff>5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O Tipo de Risco pode ser Positivo ou Negativo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Descrição do Evento de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Descreva as consequências, caso o risco aconteça.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Determine a Probabilidade de Ocorrência do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Determine o Impacto do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A severidade é a matriz de Probabilidade X Impacto, conforme a tabela descrita nesta planilha.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4</xdr:row>
                <xdr:rowOff>13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Descreva as ações que possam diminuir a probabilidade ou o impacto do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É a descrição de um evento que se ocorrer irá transformar o risco em um problema.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Defina as ações a serem executadas se eventos de risco ocorrerem.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Defina o Responsável pelo Risco.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Defina o o estado do Risco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34</xdr:colOff>
                <xdr:row>0</xdr:row>
                <xdr:rowOff>2</xdr:rowOff>
              </xdr:from>
              <xdr:to>
                <xdr:col>3</xdr:col>
                <xdr:colOff>6</xdr:colOff>
                <xdr:row>3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<sst xmlns="http://schemas.openxmlformats.org/spreadsheetml/2006/main" count="126" uniqueCount="77">
  <si>
    <t xml:space="preserve">METODOLOGIA DE GERENCIAMENTO DE PROJETOS DO SISP</t>
  </si>
  <si>
    <t xml:space="preserve">MATRIZ DE RISCOS</t>
  </si>
  <si>
    <t xml:space="preserve">Código / Sigla:</t>
  </si>
  <si>
    <t xml:space="preserve">N391-88</t>
  </si>
  <si>
    <t xml:space="preserve">Nome do Projeto:</t>
  </si>
  <si>
    <t xml:space="preserve">Inversia MarketPlace de Oportunidades</t>
  </si>
  <si>
    <t xml:space="preserve">Líder de Projeto:</t>
  </si>
  <si>
    <t xml:space="preserve">Nº</t>
  </si>
  <si>
    <t xml:space="preserve">Categoria</t>
  </si>
  <si>
    <t xml:space="preserve">Tipo</t>
  </si>
  <si>
    <t xml:space="preserve">Descrição do Risco</t>
  </si>
  <si>
    <t xml:space="preserve">Consequência </t>
  </si>
  <si>
    <t xml:space="preserve">Probabilidade de Ocorrência</t>
  </si>
  <si>
    <t xml:space="preserve">Impacto</t>
  </si>
  <si>
    <t xml:space="preserve">Severidade</t>
  </si>
  <si>
    <t xml:space="preserve">Ação </t>
  </si>
  <si>
    <t xml:space="preserve">Gatilho</t>
  </si>
  <si>
    <t xml:space="preserve">Resposta ao Risco</t>
  </si>
  <si>
    <t xml:space="preserve">Responsável</t>
  </si>
  <si>
    <t xml:space="preserve">Status</t>
  </si>
  <si>
    <t xml:space="preserve">Mercado</t>
  </si>
  <si>
    <t xml:space="preserve">Ameaça</t>
  </si>
  <si>
    <t xml:space="preserve">Baixa adesão inicial de fornecedores (Problema de Cold Start)</t>
  </si>
  <si>
    <t xml:space="preserve">Plataforma sem oferta suficiente, afastando demandantes e inviabilizando o modelo de negócio</t>
  </si>
  <si>
    <t xml:space="preserve">Alta</t>
  </si>
  <si>
    <t xml:space="preserve">Alto</t>
  </si>
  <si>
    <t xml:space="preserve">Mitigar</t>
  </si>
  <si>
    <t xml:space="preserve">Nº de fornecedores cadastrados abaixo de 50 no 1º mês</t>
  </si>
  <si>
    <t xml:space="preserve">Programa de onboarding ativo com período gratuito de 3 meses para primeiros fornecedores; parcerias com associações comerciais e sindicatos de categoria</t>
  </si>
  <si>
    <t xml:space="preserve">Produto / Growth</t>
  </si>
  <si>
    <t xml:space="preserve">Aberto</t>
  </si>
  <si>
    <t xml:space="preserve">Baixa adesão de demandantes (clientes que postam necessidades)</t>
  </si>
  <si>
    <t xml:space="preserve">Poucos pedidos na plataforma reduzem o interesse dos fornecedores, criando ciclo de abandono</t>
  </si>
  <si>
    <t xml:space="preserve">Média</t>
  </si>
  <si>
    <t xml:space="preserve">Menos de 30 demandas postadas na 1ª semana de lançamento</t>
  </si>
  <si>
    <t xml:space="preserve">Campanha de lançamento com cases demonstrativos; parcerias com síndicos e gestores; primeiras postagens com suporte ativo da equipe</t>
  </si>
  <si>
    <t xml:space="preserve">Marketing</t>
  </si>
  <si>
    <t xml:space="preserve">Tecnológico</t>
  </si>
  <si>
    <t xml:space="preserve">Falha ou imprecisão no algoritmo de matching inteligente</t>
  </si>
  <si>
    <t xml:space="preserve">Fornecedores inadequados recebem notificações, reduzindo qualidade das propostas e experiência do usuário</t>
  </si>
  <si>
    <t xml:space="preserve">Médio</t>
  </si>
  <si>
    <t xml:space="preserve">Taxa de propostas fora do escopo ou região supera 20%</t>
  </si>
  <si>
    <t xml:space="preserve">MVP com filtros manuais antes do algoritmo; evolução iterativa com base em feedback; contratação de especialista em dados</t>
  </si>
  <si>
    <t xml:space="preserve">Tech / Dados</t>
  </si>
  <si>
    <t xml:space="preserve">Financeiro</t>
  </si>
  <si>
    <t xml:space="preserve">Resistência de fornecedores ao modelo de pagamento por créditos</t>
  </si>
  <si>
    <t xml:space="preserve">Receita insuficiente para sustentar a operação, comprometendo o runway da startup</t>
  </si>
  <si>
    <t xml:space="preserve">Taxa de conversão de proposta para compra de crédito abaixo de 10%</t>
  </si>
  <si>
    <t xml:space="preserve">Testar diferentes modelos de precificação (freemium, assinatura); oferecer créditos gratuitos nos primeiros matches; entrevistas com fornecedores para validar percepção de valor</t>
  </si>
  <si>
    <t xml:space="preserve">Produto / Financeiro</t>
  </si>
  <si>
    <t xml:space="preserve">Operacional</t>
  </si>
  <si>
    <t xml:space="preserve">Fraude ou má-fé por parte de fornecedores cadastrados</t>
  </si>
  <si>
    <t xml:space="preserve">Danos à reputação da plataforma, perdas financeiras dos clientes e risco jurídico</t>
  </si>
  <si>
    <t xml:space="preserve">1º registro de reclamação formal confirmada de fraude</t>
  </si>
  <si>
    <t xml:space="preserve">KYC no cadastro de fornecedores; sistema de avaliações com moderação; selo de verificação premium e política de exclusão da plataforma</t>
  </si>
  <si>
    <t xml:space="preserve">Jurídico / Ops</t>
  </si>
  <si>
    <t xml:space="preserve">Jurídico</t>
  </si>
  <si>
    <t xml:space="preserve">Responsabilidade legal por falhas em serviços intermediados pela plataforma</t>
  </si>
  <si>
    <t xml:space="preserve">Processos judiciais, multas e danos reputacionais que podem paralisar a operação</t>
  </si>
  <si>
    <t xml:space="preserve">Baixa</t>
  </si>
  <si>
    <t xml:space="preserve">Registro do 1º processo judicial envolvendo serviço contratado via plataforma</t>
  </si>
  <si>
    <t xml:space="preserve">Termos de uso claros isentando a plataforma da execução do serviço; assessoria jurídica especializada; cláusula de arbitragem</t>
  </si>
  <si>
    <t xml:space="preserve">Competitivo</t>
  </si>
  <si>
    <t xml:space="preserve">Reação ou entrada de concorrentes consolidados (GetNinjas, Workana, OLX Serviços)</t>
  </si>
  <si>
    <t xml:space="preserve">Perda de market share antes de atingir escala crítica e dificuldade em captar investimento</t>
  </si>
  <si>
    <t xml:space="preserve">Lançamento de funcionalidade similar por concorrente direto com ampla divulgação</t>
  </si>
  <si>
    <t xml:space="preserve">Acelerar diferenciação pelo modelo reverso multimídia; focar em nicho regional (Fortaleza) para dominar antes de expandir; construir efeito de rede rapidamente</t>
  </si>
  <si>
    <t xml:space="preserve">CEO / Produto</t>
  </si>
  <si>
    <t xml:space="preserve">Problemas de escalabilidade da plataforma com crescimento de usuários</t>
  </si>
  <si>
    <t xml:space="preserve">Instabilidade ou indisponibilidade comprometendo a experiência e gerando churn</t>
  </si>
  <si>
    <t xml:space="preserve">Prevenir</t>
  </si>
  <si>
    <t xml:space="preserve">Tempo de resposta supera 3s ou disponibilidade cai abaixo de 99%</t>
  </si>
  <si>
    <t xml:space="preserve">Arquitetura cloud-native com auto-scaling desde o início; monitoramento contínuo com alertas; testes de carga antes de campanhas de aquisição</t>
  </si>
  <si>
    <t xml:space="preserve">Tech / Infra</t>
  </si>
  <si>
    <t xml:space="preserve">Tabela de Severidade</t>
  </si>
  <si>
    <t xml:space="preserve">Probabilidade</t>
  </si>
  <si>
    <t xml:space="preserve">Baixo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</si>
</sst>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8"/>
      <color rgb="FF0000FF"/>
      <name val="Tahoma"/>
      <family val="0"/>
      <charset val="1"/>
    </font>
    <font>
      <i val="true"/>
      <sz val="10"/>
      <color rgb="FF0000FF"/>
      <name val="Tahoma"/>
      <family val="0"/>
      <charset val="1"/>
    </font>
    <font>
      <sz val="8"/>
      <color rgb="FF3A3935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rgb="FF3A3935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Times New Roman"/>
      <family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6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6E6E6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33B299"/>
        <bgColor rgb="FF33CCCC"/>
      </patternFill>
    </fill>
    <fill>
      <patternFill patternType="solid">
        <fgColor rgb="FF94BD5E"/>
        <bgColor rgb="FF969696"/>
      </patternFill>
    </fill>
    <fill>
      <patternFill patternType="solid">
        <fgColor rgb="FFFFFF99"/>
        <bgColor rgb="FFCCFFCC"/>
      </patternFill>
    </fill>
    <fill>
      <patternFill patternType="solid">
        <fgColor rgb="FFEB613D"/>
        <bgColor rgb="FFFF808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n">
        <color rgb="FF3A3935"/>
      </bottom>
      <diagonal/>
    </border>
    <border diagonalUp="false" diagonalDown="false">
      <left style="thick"/>
      <right style="thick"/>
      <top style="thin">
        <color rgb="FF3A3935"/>
      </top>
      <bottom style="thin">
        <color rgb="FF3A3935"/>
      </bottom>
      <diagonal/>
    </border>
    <border diagonalUp="false" diagonalDown="false">
      <left style="thick"/>
      <right style="thin">
        <color rgb="FF3A3935"/>
      </right>
      <top style="thin">
        <color rgb="FF3A3935"/>
      </top>
      <bottom style="thick"/>
      <diagonal/>
    </border>
    <border diagonalUp="false" diagonalDown="false">
      <left style="thick">
        <color rgb="FF3A3935"/>
      </left>
      <right style="thin">
        <color rgb="FF3A3935"/>
      </right>
      <top style="thick">
        <color rgb="FF3A3935"/>
      </top>
      <bottom style="thin">
        <color rgb="FF3A3935"/>
      </bottom>
      <diagonal/>
    </border>
    <border diagonalUp="false" diagonalDown="false">
      <left style="thin">
        <color rgb="FF3A3935"/>
      </left>
      <right style="thin">
        <color rgb="FF3A3935"/>
      </right>
      <top style="thick">
        <color rgb="FF3A3935"/>
      </top>
      <bottom style="thin">
        <color rgb="FF3A3935"/>
      </bottom>
      <diagonal/>
    </border>
    <border diagonalUp="false" diagonalDown="false">
      <left style="thin">
        <color rgb="FF3A3935"/>
      </left>
      <right style="thick"/>
      <top style="thick">
        <color rgb="FF3A3935"/>
      </top>
      <bottom style="thin">
        <color rgb="FF3A3935"/>
      </bottom>
      <diagonal/>
    </border>
    <border diagonalUp="false" diagonalDown="false">
      <left style="thick">
        <color rgb="FF3A3935"/>
      </left>
      <right style="thin">
        <color rgb="FF3A3935"/>
      </right>
      <top style="thin">
        <color rgb="FF3A3935"/>
      </top>
      <bottom style="thin">
        <color rgb="FF3A3935"/>
      </bottom>
      <diagonal/>
    </border>
    <border diagonalUp="false" diagonalDown="false">
      <left style="thick"/>
      <right style="hair"/>
      <top style="thick"/>
      <bottom style="hair"/>
      <diagonal/>
    </border>
    <border diagonalUp="false" diagonalDown="false">
      <left style="hair"/>
      <right style="hair"/>
      <top style="thick"/>
      <bottom style="hair"/>
      <diagonal/>
    </border>
    <border diagonalUp="false" diagonalDown="false">
      <left style="hair"/>
      <right style="thick"/>
      <top style="thick"/>
      <bottom style="hair"/>
      <diagonal/>
    </border>
    <border diagonalUp="false" diagonalDown="false">
      <left style="thick"/>
      <right style="hair"/>
      <top style="hair"/>
      <bottom style="hair"/>
      <diagonal/>
    </border>
    <border diagonalUp="false" diagonalDown="false">
      <left style="hair"/>
      <right style="thick"/>
      <top style="hair"/>
      <bottom style="hair"/>
      <diagonal/>
    </border>
    <border diagonalUp="false" diagonalDown="false">
      <left style="thick">
        <color rgb="FF3A3935"/>
      </left>
      <right style="thin">
        <color rgb="FF3A3935"/>
      </right>
      <top style="thin">
        <color rgb="FF3A3935"/>
      </top>
      <bottom style="thick"/>
      <diagonal/>
    </border>
    <border diagonalUp="false" diagonalDown="false">
      <left style="thick"/>
      <right style="hair"/>
      <top style="hair"/>
      <bottom style="thick"/>
      <diagonal/>
    </border>
    <border diagonalUp="false" diagonalDown="false">
      <left style="hair"/>
      <right style="hair"/>
      <top style="hair"/>
      <bottom style="thick"/>
      <diagonal/>
    </border>
    <border diagonalUp="false" diagonalDown="false">
      <left style="hair"/>
      <right style="thick"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12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color rgb="FF000080"/>
      </font>
      <fill>
        <patternFill>
          <bgColor rgb="FFFFFFFF"/>
        </patternFill>
      </fill>
    </dxf>
    <dxf>
      <font>
        <name val="Arial"/>
        <charset val="1"/>
        <family val="0"/>
        <color rgb="FFFF0000"/>
      </font>
      <fill>
        <patternFill>
          <bgColor rgb="FFFFFFFF"/>
        </patternFill>
      </fill>
    </dxf>
    <dxf>
      <font>
        <name val="Arial"/>
        <charset val="1"/>
        <family val="0"/>
      </font>
      <fill>
        <patternFill>
          <bgColor rgb="FFEB613D"/>
        </patternFill>
      </fill>
    </dxf>
    <dxf>
      <font>
        <name val="Arial"/>
        <charset val="1"/>
        <family val="0"/>
      </font>
      <fill>
        <patternFill>
          <bgColor rgb="FFFFFF99"/>
        </patternFill>
      </fill>
    </dxf>
    <dxf>
      <font>
        <name val="Arial"/>
        <charset val="1"/>
        <family val="0"/>
      </font>
      <fill>
        <patternFill>
          <bgColor rgb="FF94BD5E"/>
        </patternFill>
      </fill>
    </dxf>
    <dxf>
      <font>
        <name val="Arial"/>
        <charset val="1"/>
        <family val="0"/>
        <b val="1"/>
      </font>
      <fill>
        <patternFill>
          <bgColor rgb="FF94BD5E"/>
        </patternFill>
      </fill>
    </dxf>
    <dxf>
      <font>
        <name val="Arial"/>
        <charset val="1"/>
        <family val="0"/>
        <b val="1"/>
      </font>
      <fill>
        <patternFill>
          <bgColor rgb="FFFFFF99"/>
        </patternFill>
      </fill>
    </dxf>
    <dxf>
      <font>
        <name val="Arial"/>
        <charset val="1"/>
        <family val="0"/>
        <b val="1"/>
      </font>
      <fill>
        <patternFill>
          <bgColor rgb="FFEB613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4BD5E"/>
      <rgbColor rgb="FFFFCC00"/>
      <rgbColor rgb="FFFF9900"/>
      <rgbColor rgb="FFEB613D"/>
      <rgbColor rgb="FF666699"/>
      <rgbColor rgb="FF969696"/>
      <rgbColor rgb="FF003366"/>
      <rgbColor rgb="FF33B299"/>
      <rgbColor rgb="FF003300"/>
      <rgbColor rgb="FF333300"/>
      <rgbColor rgb="FF993300"/>
      <rgbColor rgb="FF993366"/>
      <rgbColor rgb="FF333399"/>
      <rgbColor rgb="FF3A3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36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4"/>
    <col collapsed="false" customWidth="true" hidden="false" outlineLevel="0" max="10" min="10" style="1" width="32"/>
    <col collapsed="false" customWidth="true" hidden="false" outlineLevel="0" max="11" min="11" style="1" width="46"/>
    <col collapsed="false" customWidth="true" hidden="false" outlineLevel="0" max="12" min="12" style="1" width="18"/>
    <col collapsed="false" customWidth="true" hidden="false" outlineLevel="0" max="13" min="13" style="1" width="10"/>
    <col collapsed="false" customWidth="true" hidden="false" outlineLevel="0" max="1025" min="27" style="1" width="14.42"/>
  </cols>
  <sheetData>
    <row r="1" customFormat="false" ht="17.25" hidden="false" customHeight="true" outlineLevel="0" collapsed="false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customFormat="false" ht="13.5" hidden="false" customHeight="true" outlineLevel="0" collapsed="false">
      <c r="A2" s="2"/>
      <c r="B2" s="2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 customFormat="false" ht="15" hidden="false" customHeight="true" outlineLevel="0" collapsed="false">
      <c r="A3" s="2"/>
      <c r="B3" s="2"/>
      <c r="C3" s="6"/>
      <c r="D3" s="6"/>
      <c r="E3" s="6"/>
      <c r="F3" s="6"/>
      <c r="G3" s="6"/>
      <c r="H3" s="6"/>
      <c r="I3" s="6"/>
      <c r="J3" s="6"/>
      <c r="K3" s="6"/>
      <c r="L3" s="6"/>
      <c r="M3" s="4"/>
    </row>
    <row r="4" customFormat="false" ht="16.5" hidden="false" customHeight="true" outlineLevel="0" collapsed="false">
      <c r="A4" s="2"/>
      <c r="B4" s="2"/>
      <c r="C4" s="7"/>
      <c r="D4" s="7"/>
      <c r="E4" s="7"/>
      <c r="F4" s="7"/>
      <c r="G4" s="7"/>
      <c r="H4" s="7"/>
      <c r="I4" s="7"/>
      <c r="J4" s="7"/>
      <c r="K4" s="7"/>
      <c r="L4" s="7"/>
      <c r="M4" s="4"/>
    </row>
    <row r="5" customFormat="false" ht="18.75" hidden="false" customHeight="true" outlineLevel="0" collapsed="false">
      <c r="A5" s="8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25.5" hidden="false" customHeight="true" outlineLevel="0" collapsed="false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customFormat="false" ht="18.75" hidden="false" customHeight="true" outlineLevel="0" collapsed="false">
      <c r="A7" s="9" t="s">
        <v>2</v>
      </c>
      <c r="B7" s="9"/>
      <c r="C7" s="10" t="s">
        <v>3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7.25" hidden="false" customHeight="true" outlineLevel="0" collapsed="false">
      <c r="A8" s="9" t="s">
        <v>4</v>
      </c>
      <c r="B8" s="9"/>
      <c r="C8" s="11" t="s">
        <v>5</v>
      </c>
      <c r="D8" s="11"/>
      <c r="E8" s="11"/>
      <c r="F8" s="11"/>
      <c r="G8" s="11"/>
      <c r="H8" s="11"/>
      <c r="I8" s="11"/>
      <c r="J8" s="11"/>
      <c r="K8" s="11"/>
      <c r="L8" s="11"/>
      <c r="M8" s="11"/>
    </row>
    <row r="9" customFormat="false" ht="17.25" hidden="false" customHeight="true" outlineLevel="0" collapsed="false">
      <c r="A9" s="9" t="s">
        <v>6</v>
      </c>
      <c r="B9" s="9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customFormat="false" ht="17.2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29.25" hidden="false" customHeight="true" outlineLevel="0" collapsed="false">
      <c r="A11" s="9" t="s">
        <v>7</v>
      </c>
      <c r="B11" s="9" t="s">
        <v>8</v>
      </c>
      <c r="C11" s="9" t="s">
        <v>9</v>
      </c>
      <c r="D11" s="13" t="s">
        <v>10</v>
      </c>
      <c r="E11" s="13" t="s">
        <v>11</v>
      </c>
      <c r="F11" s="14" t="s">
        <v>12</v>
      </c>
      <c r="G11" s="13" t="s">
        <v>13</v>
      </c>
      <c r="H11" s="13" t="s">
        <v>14</v>
      </c>
      <c r="I11" s="13" t="s">
        <v>15</v>
      </c>
      <c r="J11" s="13" t="s">
        <v>16</v>
      </c>
      <c r="K11" s="13" t="s">
        <v>17</v>
      </c>
      <c r="L11" s="13" t="s">
        <v>18</v>
      </c>
      <c r="M11" s="13" t="s">
        <v>19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customFormat="false" ht="75" hidden="false" customHeight="true" outlineLevel="0" collapsed="false">
      <c r="A12" s="16" t="n">
        <v>1</v>
      </c>
      <c r="B12" s="16" t="s">
        <v>20</v>
      </c>
      <c r="C12" s="17" t="s">
        <v>21</v>
      </c>
      <c r="D12" s="18" t="s">
        <v>22</v>
      </c>
      <c r="E12" s="18" t="s">
        <v>23</v>
      </c>
      <c r="F12" s="17" t="s">
        <v>24</v>
      </c>
      <c r="G12" s="17" t="s">
        <v>25</v>
      </c>
      <c r="H12" s="17" t="str">
        <f aca="false">IF(AND(F12="Baixa",G12="Baixo"),'Tabela de severidade'!$C$4,IF(AND(F12="Baixa",G12="Médio"),'Tabela de severidade'!$D$4,IF(AND(F12="Baixa",G12="Alto"),'Tabela de severidade'!$E$4,IF(AND(F12="Média",G12="Baixo"),'Tabela de severidade'!$C$5,IF(AND(F12="Média",G12="Médio"),'Tabela de severidade'!$D$5,IF(AND(F12="Média",G12="Alto"),'Tabela de severidade'!$E$5,IF(AND(F12="Alta",G12="Baixo"),'Tabela de severidade'!$C$6,IF(AND(F12="Alta",G12="Médio"),'Tabela de severidade'!$D$6,IF(AND(F12="Alta",G12="Alto"),'Tabela de severidade'!$E$6,"")))))))))</f>
        <v>Alta</v>
      </c>
      <c r="I12" s="17" t="s">
        <v>26</v>
      </c>
      <c r="J12" s="18" t="s">
        <v>27</v>
      </c>
      <c r="K12" s="18" t="s">
        <v>28</v>
      </c>
      <c r="L12" s="16" t="s">
        <v>29</v>
      </c>
      <c r="M12" s="17" t="s">
        <v>30</v>
      </c>
    </row>
    <row r="13" customFormat="false" ht="75" hidden="false" customHeight="true" outlineLevel="0" collapsed="false">
      <c r="A13" s="16" t="n">
        <v>2</v>
      </c>
      <c r="B13" s="16" t="s">
        <v>20</v>
      </c>
      <c r="C13" s="17" t="s">
        <v>21</v>
      </c>
      <c r="D13" s="18" t="s">
        <v>31</v>
      </c>
      <c r="E13" s="18" t="s">
        <v>32</v>
      </c>
      <c r="F13" s="17" t="s">
        <v>33</v>
      </c>
      <c r="G13" s="17" t="s">
        <v>25</v>
      </c>
      <c r="H13" s="17" t="str">
        <f aca="false">IF(AND(F13="Baixa",G13="Baixo"),'Tabela de severidade'!$C$4,IF(AND(F13="Baixa",G13="Médio"),'Tabela de severidade'!$D$4,IF(AND(F13="Baixa",G13="Alto"),'Tabela de severidade'!$E$4,IF(AND(F13="Média",G13="Baixo"),'Tabela de severidade'!$C$5,IF(AND(F13="Média",G13="Médio"),'Tabela de severidade'!$D$5,IF(AND(F13="Média",G13="Alto"),'Tabela de severidade'!$E$5,IF(AND(F13="Alta",G13="Baixo"),'Tabela de severidade'!$C$6,IF(AND(F13="Alta",G13="Médio"),'Tabela de severidade'!$D$6,IF(AND(F13="Alta",G13="Alto"),'Tabela de severidade'!$E$6,"")))))))))</f>
        <v>Alta</v>
      </c>
      <c r="I13" s="17" t="s">
        <v>26</v>
      </c>
      <c r="J13" s="18" t="s">
        <v>34</v>
      </c>
      <c r="K13" s="18" t="s">
        <v>35</v>
      </c>
      <c r="L13" s="16" t="s">
        <v>36</v>
      </c>
      <c r="M13" s="17" t="s">
        <v>30</v>
      </c>
    </row>
    <row r="14" customFormat="false" ht="75" hidden="false" customHeight="true" outlineLevel="0" collapsed="false">
      <c r="A14" s="16" t="n">
        <v>3</v>
      </c>
      <c r="B14" s="16" t="s">
        <v>37</v>
      </c>
      <c r="C14" s="17" t="s">
        <v>21</v>
      </c>
      <c r="D14" s="18" t="s">
        <v>38</v>
      </c>
      <c r="E14" s="18" t="s">
        <v>39</v>
      </c>
      <c r="F14" s="17" t="s">
        <v>33</v>
      </c>
      <c r="G14" s="17" t="s">
        <v>40</v>
      </c>
      <c r="H14" s="17" t="str">
        <f aca="false">IF(AND(F14="Baixa",G14="Baixo"),'Tabela de severidade'!$C$4,IF(AND(F14="Baixa",G14="Médio"),'Tabela de severidade'!$D$4,IF(AND(F14="Baixa",G14="Alto"),'Tabela de severidade'!$E$4,IF(AND(F14="Média",G14="Baixo"),'Tabela de severidade'!$C$5,IF(AND(F14="Média",G14="Médio"),'Tabela de severidade'!$D$5,IF(AND(F14="Média",G14="Alto"),'Tabela de severidade'!$E$5,IF(AND(F14="Alta",G14="Baixo"),'Tabela de severidade'!$C$6,IF(AND(F14="Alta",G14="Médio"),'Tabela de severidade'!$D$6,IF(AND(F14="Alta",G14="Alto"),'Tabela de severidade'!$E$6,"")))))))))</f>
        <v>Média</v>
      </c>
      <c r="I14" s="17" t="s">
        <v>26</v>
      </c>
      <c r="J14" s="18" t="s">
        <v>41</v>
      </c>
      <c r="K14" s="18" t="s">
        <v>42</v>
      </c>
      <c r="L14" s="16" t="s">
        <v>43</v>
      </c>
      <c r="M14" s="17" t="s">
        <v>30</v>
      </c>
    </row>
    <row r="15" customFormat="false" ht="75" hidden="false" customHeight="true" outlineLevel="0" collapsed="false">
      <c r="A15" s="16" t="n">
        <v>4</v>
      </c>
      <c r="B15" s="16" t="s">
        <v>44</v>
      </c>
      <c r="C15" s="17" t="s">
        <v>21</v>
      </c>
      <c r="D15" s="18" t="s">
        <v>45</v>
      </c>
      <c r="E15" s="18" t="s">
        <v>46</v>
      </c>
      <c r="F15" s="17" t="s">
        <v>33</v>
      </c>
      <c r="G15" s="17" t="s">
        <v>25</v>
      </c>
      <c r="H15" s="17" t="str">
        <f aca="false">IF(AND(F15="Baixa",G15="Baixo"),'Tabela de severidade'!$C$4,IF(AND(F15="Baixa",G15="Médio"),'Tabela de severidade'!$D$4,IF(AND(F15="Baixa",G15="Alto"),'Tabela de severidade'!$E$4,IF(AND(F15="Média",G15="Baixo"),'Tabela de severidade'!$C$5,IF(AND(F15="Média",G15="Médio"),'Tabela de severidade'!$D$5,IF(AND(F15="Média",G15="Alto"),'Tabela de severidade'!$E$5,IF(AND(F15="Alta",G15="Baixo"),'Tabela de severidade'!$C$6,IF(AND(F15="Alta",G15="Médio"),'Tabela de severidade'!$D$6,IF(AND(F15="Alta",G15="Alto"),'Tabela de severidade'!$E$6,"")))))))))</f>
        <v>Alta</v>
      </c>
      <c r="I15" s="17" t="s">
        <v>26</v>
      </c>
      <c r="J15" s="18" t="s">
        <v>47</v>
      </c>
      <c r="K15" s="18" t="s">
        <v>48</v>
      </c>
      <c r="L15" s="16" t="s">
        <v>49</v>
      </c>
      <c r="M15" s="17" t="s">
        <v>30</v>
      </c>
    </row>
    <row r="16" customFormat="false" ht="75" hidden="false" customHeight="true" outlineLevel="0" collapsed="false">
      <c r="A16" s="16" t="n">
        <v>5</v>
      </c>
      <c r="B16" s="16" t="s">
        <v>50</v>
      </c>
      <c r="C16" s="17" t="s">
        <v>21</v>
      </c>
      <c r="D16" s="18" t="s">
        <v>51</v>
      </c>
      <c r="E16" s="18" t="s">
        <v>52</v>
      </c>
      <c r="F16" s="17" t="s">
        <v>33</v>
      </c>
      <c r="G16" s="17" t="s">
        <v>25</v>
      </c>
      <c r="H16" s="17" t="str">
        <f aca="false">IF(AND(F16="Baixa",G16="Baixo"),'Tabela de severidade'!$C$4,IF(AND(F16="Baixa",G16="Médio"),'Tabela de severidade'!$D$4,IF(AND(F16="Baixa",G16="Alto"),'Tabela de severidade'!$E$4,IF(AND(F16="Média",G16="Baixo"),'Tabela de severidade'!$C$5,IF(AND(F16="Média",G16="Médio"),'Tabela de severidade'!$D$5,IF(AND(F16="Média",G16="Alto"),'Tabela de severidade'!$E$5,IF(AND(F16="Alta",G16="Baixo"),'Tabela de severidade'!$C$6,IF(AND(F16="Alta",G16="Médio"),'Tabela de severidade'!$D$6,IF(AND(F16="Alta",G16="Alto"),'Tabela de severidade'!$E$6,"")))))))))</f>
        <v>Alta</v>
      </c>
      <c r="I16" s="17" t="s">
        <v>26</v>
      </c>
      <c r="J16" s="18" t="s">
        <v>53</v>
      </c>
      <c r="K16" s="18" t="s">
        <v>54</v>
      </c>
      <c r="L16" s="16" t="s">
        <v>55</v>
      </c>
      <c r="M16" s="17" t="s">
        <v>30</v>
      </c>
    </row>
    <row r="17" customFormat="false" ht="75" hidden="false" customHeight="true" outlineLevel="0" collapsed="false">
      <c r="A17" s="16" t="n">
        <v>6</v>
      </c>
      <c r="B17" s="16" t="s">
        <v>56</v>
      </c>
      <c r="C17" s="17" t="s">
        <v>21</v>
      </c>
      <c r="D17" s="18" t="s">
        <v>57</v>
      </c>
      <c r="E17" s="18" t="s">
        <v>58</v>
      </c>
      <c r="F17" s="17" t="s">
        <v>59</v>
      </c>
      <c r="G17" s="17" t="s">
        <v>25</v>
      </c>
      <c r="H17" s="17" t="str">
        <f aca="false">IF(AND(F17="Baixa",G17="Baixo"),'Tabela de severidade'!$C$4,IF(AND(F17="Baixa",G17="Médio"),'Tabela de severidade'!$D$4,IF(AND(F17="Baixa",G17="Alto"),'Tabela de severidade'!$E$4,IF(AND(F17="Média",G17="Baixo"),'Tabela de severidade'!$C$5,IF(AND(F17="Média",G17="Médio"),'Tabela de severidade'!$D$5,IF(AND(F17="Média",G17="Alto"),'Tabela de severidade'!$E$5,IF(AND(F17="Alta",G17="Baixo"),'Tabela de severidade'!$C$6,IF(AND(F17="Alta",G17="Médio"),'Tabela de severidade'!$D$6,IF(AND(F17="Alta",G17="Alto"),'Tabela de severidade'!$E$6,"")))))))))</f>
        <v>Média</v>
      </c>
      <c r="I17" s="17" t="s">
        <v>26</v>
      </c>
      <c r="J17" s="18" t="s">
        <v>60</v>
      </c>
      <c r="K17" s="18" t="s">
        <v>61</v>
      </c>
      <c r="L17" s="16" t="s">
        <v>56</v>
      </c>
      <c r="M17" s="17" t="s">
        <v>30</v>
      </c>
    </row>
    <row r="18" customFormat="false" ht="75" hidden="false" customHeight="true" outlineLevel="0" collapsed="false">
      <c r="A18" s="16" t="n">
        <v>7</v>
      </c>
      <c r="B18" s="16" t="s">
        <v>62</v>
      </c>
      <c r="C18" s="17" t="s">
        <v>21</v>
      </c>
      <c r="D18" s="18" t="s">
        <v>63</v>
      </c>
      <c r="E18" s="18" t="s">
        <v>64</v>
      </c>
      <c r="F18" s="17" t="s">
        <v>24</v>
      </c>
      <c r="G18" s="17" t="s">
        <v>40</v>
      </c>
      <c r="H18" s="17" t="str">
        <f aca="false">IF(AND(F18="Baixa",G18="Baixo"),'Tabela de severidade'!$C$4,IF(AND(F18="Baixa",G18="Médio"),'Tabela de severidade'!$D$4,IF(AND(F18="Baixa",G18="Alto"),'Tabela de severidade'!$E$4,IF(AND(F18="Média",G18="Baixo"),'Tabela de severidade'!$C$5,IF(AND(F18="Média",G18="Médio"),'Tabela de severidade'!$D$5,IF(AND(F18="Média",G18="Alto"),'Tabela de severidade'!$E$5,IF(AND(F18="Alta",G18="Baixo"),'Tabela de severidade'!$C$6,IF(AND(F18="Alta",G18="Médio"),'Tabela de severidade'!$D$6,IF(AND(F18="Alta",G18="Alto"),'Tabela de severidade'!$E$6,"")))))))))</f>
        <v>Alta</v>
      </c>
      <c r="I18" s="17" t="s">
        <v>26</v>
      </c>
      <c r="J18" s="18" t="s">
        <v>65</v>
      </c>
      <c r="K18" s="18" t="s">
        <v>66</v>
      </c>
      <c r="L18" s="16" t="s">
        <v>67</v>
      </c>
      <c r="M18" s="17" t="s">
        <v>30</v>
      </c>
    </row>
    <row r="19" customFormat="false" ht="75" hidden="false" customHeight="true" outlineLevel="0" collapsed="false">
      <c r="A19" s="16" t="n">
        <v>8</v>
      </c>
      <c r="B19" s="16" t="s">
        <v>37</v>
      </c>
      <c r="C19" s="17" t="s">
        <v>21</v>
      </c>
      <c r="D19" s="18" t="s">
        <v>68</v>
      </c>
      <c r="E19" s="18" t="s">
        <v>69</v>
      </c>
      <c r="F19" s="17" t="s">
        <v>59</v>
      </c>
      <c r="G19" s="17" t="s">
        <v>40</v>
      </c>
      <c r="H19" s="17" t="str">
        <f aca="false">IF(AND(F19="Baixa",G19="Baixo"),'Tabela de severidade'!$C$4,IF(AND(F19="Baixa",G19="Médio"),'Tabela de severidade'!$D$4,IF(AND(F19="Baixa",G19="Alto"),'Tabela de severidade'!$E$4,IF(AND(F19="Média",G19="Baixo"),'Tabela de severidade'!$C$5,IF(AND(F19="Média",G19="Médio"),'Tabela de severidade'!$D$5,IF(AND(F19="Média",G19="Alto"),'Tabela de severidade'!$E$5,IF(AND(F19="Alta",G19="Baixo"),'Tabela de severidade'!$C$6,IF(AND(F19="Alta",G19="Médio"),'Tabela de severidade'!$D$6,IF(AND(F19="Alta",G19="Alto"),'Tabela de severidade'!$E$6,"")))))))))</f>
        <v>Baixa</v>
      </c>
      <c r="I19" s="17" t="s">
        <v>70</v>
      </c>
      <c r="J19" s="18" t="s">
        <v>71</v>
      </c>
      <c r="K19" s="18" t="s">
        <v>72</v>
      </c>
      <c r="L19" s="16" t="s">
        <v>73</v>
      </c>
      <c r="M19" s="17" t="s">
        <v>30</v>
      </c>
    </row>
    <row r="20" customFormat="false" ht="27.75" hidden="false" customHeight="true" outlineLevel="0" collapsed="false">
      <c r="A20" s="19"/>
      <c r="B20" s="20"/>
      <c r="C20" s="21"/>
      <c r="D20" s="20"/>
      <c r="E20" s="22"/>
      <c r="F20" s="23"/>
      <c r="G20" s="23"/>
      <c r="H20" s="24" t="str">
        <f aca="false">IF(AND(F20="Baixa",G20="Baixo"),'Tabela de severidade'!$C$4,IF(AND(F20="Baixa",G20="Médio"),'Tabela de severidade'!$D$4,IF(AND(F20="Baixa",G20="Alto"),'Tabela de severidade'!$E$4,IF(AND(F20="Média",G20="Baixo"),'Tabela de severidade'!$C$5,IF(AND(F20="Média",G20="Médio"),'Tabela de severidade'!$D$5,IF(AND(F20="Média",G20="Alto"),'Tabela de severidade'!$E$5,IF(AND(F20="Alta",G20="Baixo"),'Tabela de severidade'!$C$6,IF(AND(F20="Alta",G20="Médio"),'Tabela de severidade'!$D$6,IF(AND(F20="Alta",G20="Alto"),'Tabela de severidade'!$E$6,"")))))))))</f>
        <v/>
      </c>
      <c r="I20" s="21"/>
      <c r="J20" s="25"/>
      <c r="K20" s="25"/>
      <c r="L20" s="26"/>
      <c r="M20" s="21"/>
    </row>
    <row r="21" customFormat="false" ht="27.75" hidden="false" customHeight="true" outlineLevel="0" collapsed="false">
      <c r="A21" s="19"/>
      <c r="B21" s="20"/>
      <c r="C21" s="21"/>
      <c r="D21" s="20"/>
      <c r="E21" s="22"/>
      <c r="F21" s="23"/>
      <c r="G21" s="23"/>
      <c r="H21" s="24" t="str">
        <f aca="false">IF(AND(F21="Baixa",G21="Baixo"),'Tabela de severidade'!$C$4,IF(AND(F21="Baixa",G21="Médio"),'Tabela de severidade'!$D$4,IF(AND(F21="Baixa",G21="Alto"),'Tabela de severidade'!$E$4,IF(AND(F21="Média",G21="Baixo"),'Tabela de severidade'!$C$5,IF(AND(F21="Média",G21="Médio"),'Tabela de severidade'!$D$5,IF(AND(F21="Média",G21="Alto"),'Tabela de severidade'!$E$5,IF(AND(F21="Alta",G21="Baixo"),'Tabela de severidade'!$C$6,IF(AND(F21="Alta",G21="Médio"),'Tabela de severidade'!$D$6,IF(AND(F21="Alta",G21="Alto"),'Tabela de severidade'!$E$6,"")))))))))</f>
        <v/>
      </c>
      <c r="I21" s="21"/>
      <c r="J21" s="25"/>
      <c r="K21" s="25"/>
      <c r="L21" s="26"/>
      <c r="M21" s="21"/>
    </row>
    <row r="22" customFormat="false" ht="27.75" hidden="false" customHeight="true" outlineLevel="0" collapsed="false">
      <c r="A22" s="19"/>
      <c r="B22" s="20"/>
      <c r="C22" s="21"/>
      <c r="D22" s="20"/>
      <c r="E22" s="22"/>
      <c r="F22" s="23"/>
      <c r="G22" s="23"/>
      <c r="H22" s="24" t="str">
        <f aca="false">IF(AND(F22="Baixa",G22="Baixo"),'Tabela de severidade'!$C$4,IF(AND(F22="Baixa",G22="Médio"),'Tabela de severidade'!$D$4,IF(AND(F22="Baixa",G22="Alto"),'Tabela de severidade'!$E$4,IF(AND(F22="Média",G22="Baixo"),'Tabela de severidade'!$C$5,IF(AND(F22="Média",G22="Médio"),'Tabela de severidade'!$D$5,IF(AND(F22="Média",G22="Alto"),'Tabela de severidade'!$E$5,IF(AND(F22="Alta",G22="Baixo"),'Tabela de severidade'!$C$6,IF(AND(F22="Alta",G22="Médio"),'Tabela de severidade'!$D$6,IF(AND(F22="Alta",G22="Alto"),'Tabela de severidade'!$E$6,"")))))))))</f>
        <v/>
      </c>
      <c r="I22" s="21"/>
      <c r="J22" s="25"/>
      <c r="K22" s="25"/>
      <c r="L22" s="26"/>
      <c r="M22" s="21"/>
    </row>
    <row r="23" customFormat="false" ht="27.75" hidden="false" customHeight="true" outlineLevel="0" collapsed="false">
      <c r="A23" s="19"/>
      <c r="B23" s="20"/>
      <c r="C23" s="21"/>
      <c r="D23" s="20"/>
      <c r="E23" s="22"/>
      <c r="F23" s="23"/>
      <c r="G23" s="23"/>
      <c r="H23" s="24" t="str">
        <f aca="false">IF(AND(F23="Baixa",G23="Baixo"),'Tabela de severidade'!$C$4,IF(AND(F23="Baixa",G23="Médio"),'Tabela de severidade'!$D$4,IF(AND(F23="Baixa",G23="Alto"),'Tabela de severidade'!$E$4,IF(AND(F23="Média",G23="Baixo"),'Tabela de severidade'!$C$5,IF(AND(F23="Média",G23="Médio"),'Tabela de severidade'!$D$5,IF(AND(F23="Média",G23="Alto"),'Tabela de severidade'!$E$5,IF(AND(F23="Alta",G23="Baixo"),'Tabela de severidade'!$C$6,IF(AND(F23="Alta",G23="Médio"),'Tabela de severidade'!$D$6,IF(AND(F23="Alta",G23="Alto"),'Tabela de severidade'!$E$6,"")))))))))</f>
        <v/>
      </c>
      <c r="I23" s="21"/>
      <c r="J23" s="25"/>
      <c r="K23" s="25"/>
      <c r="L23" s="26"/>
      <c r="M23" s="21"/>
    </row>
    <row r="24" customFormat="false" ht="27.75" hidden="false" customHeight="true" outlineLevel="0" collapsed="false">
      <c r="A24" s="19"/>
      <c r="B24" s="20"/>
      <c r="C24" s="21"/>
      <c r="D24" s="20"/>
      <c r="E24" s="22"/>
      <c r="F24" s="23"/>
      <c r="G24" s="23"/>
      <c r="H24" s="24" t="str">
        <f aca="false">IF(AND(F24="Baixa",G24="Baixo"),'Tabela de severidade'!$C$4,IF(AND(F24="Baixa",G24="Médio"),'Tabela de severidade'!$D$4,IF(AND(F24="Baixa",G24="Alto"),'Tabela de severidade'!$E$4,IF(AND(F24="Média",G24="Baixo"),'Tabela de severidade'!$C$5,IF(AND(F24="Média",G24="Médio"),'Tabela de severidade'!$D$5,IF(AND(F24="Média",G24="Alto"),'Tabela de severidade'!$E$5,IF(AND(F24="Alta",G24="Baixo"),'Tabela de severidade'!$C$6,IF(AND(F24="Alta",G24="Médio"),'Tabela de severidade'!$D$6,IF(AND(F24="Alta",G24="Alto"),'Tabela de severidade'!$E$6,"")))))))))</f>
        <v/>
      </c>
      <c r="I24" s="21"/>
      <c r="J24" s="25"/>
      <c r="K24" s="25"/>
      <c r="L24" s="26"/>
      <c r="M24" s="21"/>
    </row>
    <row r="25" customFormat="false" ht="27.75" hidden="false" customHeight="true" outlineLevel="0" collapsed="false">
      <c r="A25" s="19"/>
      <c r="B25" s="20"/>
      <c r="C25" s="21"/>
      <c r="D25" s="20"/>
      <c r="E25" s="22"/>
      <c r="F25" s="23"/>
      <c r="G25" s="23"/>
      <c r="H25" s="24" t="str">
        <f aca="false">IF(AND(F25="Baixa",G25="Baixo"),'Tabela de severidade'!$C$4,IF(AND(F25="Baixa",G25="Médio"),'Tabela de severidade'!$D$4,IF(AND(F25="Baixa",G25="Alto"),'Tabela de severidade'!$E$4,IF(AND(F25="Média",G25="Baixo"),'Tabela de severidade'!$C$5,IF(AND(F25="Média",G25="Médio"),'Tabela de severidade'!$D$5,IF(AND(F25="Média",G25="Alto"),'Tabela de severidade'!$E$5,IF(AND(F25="Alta",G25="Baixo"),'Tabela de severidade'!$C$6,IF(AND(F25="Alta",G25="Médio"),'Tabela de severidade'!$D$6,IF(AND(F25="Alta",G25="Alto"),'Tabela de severidade'!$E$6,"")))))))))</f>
        <v/>
      </c>
      <c r="I25" s="21"/>
      <c r="J25" s="25"/>
      <c r="K25" s="25"/>
      <c r="L25" s="26"/>
      <c r="M25" s="21"/>
    </row>
    <row r="26" customFormat="false" ht="27.75" hidden="false" customHeight="true" outlineLevel="0" collapsed="false">
      <c r="A26" s="19"/>
      <c r="B26" s="20"/>
      <c r="C26" s="21"/>
      <c r="D26" s="20"/>
      <c r="E26" s="22"/>
      <c r="F26" s="23"/>
      <c r="G26" s="23"/>
      <c r="H26" s="24" t="str">
        <f aca="false">IF(AND(F26="Baixa",G26="Baixo"),'Tabela de severidade'!$C$4,IF(AND(F26="Baixa",G26="Médio"),'Tabela de severidade'!$D$4,IF(AND(F26="Baixa",G26="Alto"),'Tabela de severidade'!$E$4,IF(AND(F26="Média",G26="Baixo"),'Tabela de severidade'!$C$5,IF(AND(F26="Média",G26="Médio"),'Tabela de severidade'!$D$5,IF(AND(F26="Média",G26="Alto"),'Tabela de severidade'!$E$5,IF(AND(F26="Alta",G26="Baixo"),'Tabela de severidade'!$C$6,IF(AND(F26="Alta",G26="Médio"),'Tabela de severidade'!$D$6,IF(AND(F26="Alta",G26="Alto"),'Tabela de severidade'!$E$6,"")))))))))</f>
        <v/>
      </c>
      <c r="I26" s="21"/>
      <c r="J26" s="25"/>
      <c r="K26" s="25"/>
      <c r="L26" s="26"/>
      <c r="M26" s="21"/>
    </row>
    <row r="27" customFormat="false" ht="27.75" hidden="false" customHeight="true" outlineLevel="0" collapsed="false">
      <c r="A27" s="19"/>
      <c r="B27" s="20"/>
      <c r="C27" s="21"/>
      <c r="D27" s="20"/>
      <c r="E27" s="22"/>
      <c r="F27" s="23"/>
      <c r="G27" s="23"/>
      <c r="H27" s="24" t="str">
        <f aca="false">IF(AND(F27="Baixa",G27="Baixo"),'Tabela de severidade'!$C$4,IF(AND(F27="Baixa",G27="Médio"),'Tabela de severidade'!$D$4,IF(AND(F27="Baixa",G27="Alto"),'Tabela de severidade'!$E$4,IF(AND(F27="Média",G27="Baixo"),'Tabela de severidade'!$C$5,IF(AND(F27="Média",G27="Médio"),'Tabela de severidade'!$D$5,IF(AND(F27="Média",G27="Alto"),'Tabela de severidade'!$E$5,IF(AND(F27="Alta",G27="Baixo"),'Tabela de severidade'!$C$6,IF(AND(F27="Alta",G27="Médio"),'Tabela de severidade'!$D$6,IF(AND(F27="Alta",G27="Alto"),'Tabela de severidade'!$E$6,"")))))))))</f>
        <v/>
      </c>
      <c r="I27" s="21"/>
      <c r="J27" s="25"/>
      <c r="K27" s="25"/>
      <c r="L27" s="26"/>
      <c r="M27" s="21"/>
    </row>
    <row r="28" customFormat="false" ht="27.75" hidden="false" customHeight="true" outlineLevel="0" collapsed="false">
      <c r="A28" s="19"/>
      <c r="B28" s="20"/>
      <c r="C28" s="21"/>
      <c r="D28" s="20"/>
      <c r="E28" s="22"/>
      <c r="F28" s="23"/>
      <c r="G28" s="23"/>
      <c r="H28" s="24" t="str">
        <f aca="false">IF(AND(F28="Baixa",G28="Baixo"),'Tabela de severidade'!$C$4,IF(AND(F28="Baixa",G28="Médio"),'Tabela de severidade'!$D$4,IF(AND(F28="Baixa",G28="Alto"),'Tabela de severidade'!$E$4,IF(AND(F28="Média",G28="Baixo"),'Tabela de severidade'!$C$5,IF(AND(F28="Média",G28="Médio"),'Tabela de severidade'!$D$5,IF(AND(F28="Média",G28="Alto"),'Tabela de severidade'!$E$5,IF(AND(F28="Alta",G28="Baixo"),'Tabela de severidade'!$C$6,IF(AND(F28="Alta",G28="Médio"),'Tabela de severidade'!$D$6,IF(AND(F28="Alta",G28="Alto"),'Tabela de severidade'!$E$6,"")))))))))</f>
        <v/>
      </c>
      <c r="I28" s="21"/>
      <c r="J28" s="25"/>
      <c r="K28" s="25"/>
      <c r="L28" s="26"/>
      <c r="M28" s="21"/>
    </row>
    <row r="29" customFormat="false" ht="27.75" hidden="false" customHeight="true" outlineLevel="0" collapsed="false">
      <c r="A29" s="19"/>
      <c r="B29" s="20"/>
      <c r="C29" s="21"/>
      <c r="D29" s="20"/>
      <c r="E29" s="22"/>
      <c r="F29" s="23"/>
      <c r="G29" s="23"/>
      <c r="H29" s="24" t="str">
        <f aca="false">IF(AND(F29="Baixa",G29="Baixo"),'Tabela de severidade'!$C$4,IF(AND(F29="Baixa",G29="Médio"),'Tabela de severidade'!$D$4,IF(AND(F29="Baixa",G29="Alto"),'Tabela de severidade'!$E$4,IF(AND(F29="Média",G29="Baixo"),'Tabela de severidade'!$C$5,IF(AND(F29="Média",G29="Médio"),'Tabela de severidade'!$D$5,IF(AND(F29="Média",G29="Alto"),'Tabela de severidade'!$E$5,IF(AND(F29="Alta",G29="Baixo"),'Tabela de severidade'!$C$6,IF(AND(F29="Alta",G29="Médio"),'Tabela de severidade'!$D$6,IF(AND(F29="Alta",G29="Alto"),'Tabela de severidade'!$E$6,"")))))))))</f>
        <v/>
      </c>
      <c r="I29" s="21"/>
      <c r="J29" s="25"/>
      <c r="K29" s="25"/>
      <c r="L29" s="26"/>
      <c r="M29" s="21"/>
    </row>
    <row r="30" customFormat="false" ht="27.75" hidden="false" customHeight="true" outlineLevel="0" collapsed="false">
      <c r="A30" s="19"/>
      <c r="B30" s="20"/>
      <c r="C30" s="21"/>
      <c r="D30" s="20"/>
      <c r="E30" s="22"/>
      <c r="F30" s="23"/>
      <c r="G30" s="23"/>
      <c r="H30" s="24"/>
      <c r="I30" s="21"/>
      <c r="J30" s="25"/>
      <c r="K30" s="25"/>
      <c r="L30" s="26"/>
      <c r="M30" s="21"/>
    </row>
    <row r="31" customFormat="false" ht="27.75" hidden="false" customHeight="true" outlineLevel="0" collapsed="false">
      <c r="A31" s="19"/>
      <c r="B31" s="20"/>
      <c r="C31" s="21"/>
      <c r="D31" s="20"/>
      <c r="E31" s="22"/>
      <c r="F31" s="23"/>
      <c r="G31" s="23"/>
      <c r="H31" s="24"/>
      <c r="I31" s="21"/>
      <c r="J31" s="25"/>
      <c r="K31" s="25"/>
      <c r="L31" s="26"/>
      <c r="M31" s="21"/>
    </row>
    <row r="32" customFormat="false" ht="27.75" hidden="false" customHeight="true" outlineLevel="0" collapsed="false">
      <c r="A32" s="19"/>
      <c r="B32" s="20"/>
      <c r="C32" s="21"/>
      <c r="D32" s="20"/>
      <c r="E32" s="22"/>
      <c r="F32" s="23"/>
      <c r="G32" s="23"/>
      <c r="H32" s="24"/>
      <c r="I32" s="21"/>
      <c r="J32" s="25"/>
      <c r="K32" s="25"/>
      <c r="L32" s="26"/>
      <c r="M32" s="21"/>
    </row>
    <row r="33" customFormat="false" ht="27.75" hidden="false" customHeight="true" outlineLevel="0" collapsed="false">
      <c r="A33" s="19"/>
      <c r="B33" s="20"/>
      <c r="C33" s="21"/>
      <c r="D33" s="20"/>
      <c r="E33" s="22"/>
      <c r="F33" s="23"/>
      <c r="G33" s="23"/>
      <c r="H33" s="24"/>
      <c r="I33" s="21"/>
      <c r="J33" s="25"/>
      <c r="K33" s="25"/>
      <c r="L33" s="26"/>
      <c r="M33" s="21"/>
    </row>
    <row r="34" customFormat="false" ht="27.75" hidden="false" customHeight="true" outlineLevel="0" collapsed="false">
      <c r="A34" s="19"/>
      <c r="B34" s="20"/>
      <c r="C34" s="21"/>
      <c r="D34" s="20"/>
      <c r="E34" s="22"/>
      <c r="F34" s="23"/>
      <c r="G34" s="23"/>
      <c r="H34" s="24"/>
      <c r="I34" s="21"/>
      <c r="J34" s="25"/>
      <c r="K34" s="25"/>
      <c r="L34" s="26"/>
      <c r="M34" s="21"/>
    </row>
    <row r="35" customFormat="false" ht="27.75" hidden="false" customHeight="true" outlineLevel="0" collapsed="false">
      <c r="A35" s="19"/>
      <c r="B35" s="20"/>
      <c r="C35" s="21"/>
      <c r="D35" s="20"/>
      <c r="E35" s="22"/>
      <c r="F35" s="23"/>
      <c r="G35" s="23"/>
      <c r="H35" s="24"/>
      <c r="I35" s="21"/>
      <c r="J35" s="25"/>
      <c r="K35" s="25"/>
      <c r="L35" s="26"/>
      <c r="M35" s="21"/>
    </row>
    <row r="36" customFormat="false" ht="27.75" hidden="false" customHeight="true" outlineLevel="0" collapsed="false">
      <c r="A36" s="19"/>
      <c r="B36" s="20"/>
      <c r="C36" s="21"/>
      <c r="D36" s="20"/>
      <c r="E36" s="22"/>
      <c r="F36" s="23"/>
      <c r="G36" s="23"/>
      <c r="H36" s="24"/>
      <c r="I36" s="21"/>
      <c r="J36" s="25"/>
      <c r="K36" s="25"/>
      <c r="L36" s="26"/>
      <c r="M36" s="21"/>
    </row>
    <row r="37" customFormat="false" ht="27.75" hidden="false" customHeight="true" outlineLevel="0" collapsed="false">
      <c r="A37" s="19"/>
      <c r="B37" s="20"/>
      <c r="C37" s="21"/>
      <c r="D37" s="20"/>
      <c r="E37" s="22"/>
      <c r="F37" s="23"/>
      <c r="G37" s="23"/>
      <c r="H37" s="24"/>
      <c r="I37" s="21"/>
      <c r="J37" s="25"/>
      <c r="K37" s="25"/>
      <c r="L37" s="26"/>
      <c r="M37" s="21"/>
    </row>
    <row r="38" customFormat="false" ht="27.75" hidden="false" customHeight="true" outlineLevel="0" collapsed="false">
      <c r="A38" s="19"/>
      <c r="B38" s="20"/>
      <c r="C38" s="21"/>
      <c r="D38" s="20"/>
      <c r="E38" s="22"/>
      <c r="F38" s="23"/>
      <c r="G38" s="23"/>
      <c r="H38" s="24"/>
      <c r="I38" s="21"/>
      <c r="J38" s="25"/>
      <c r="K38" s="25"/>
      <c r="L38" s="26"/>
      <c r="M38" s="21"/>
    </row>
    <row r="39" customFormat="false" ht="27.75" hidden="false" customHeight="true" outlineLevel="0" collapsed="false">
      <c r="A39" s="19"/>
      <c r="B39" s="20"/>
      <c r="C39" s="21"/>
      <c r="D39" s="20"/>
      <c r="E39" s="22"/>
      <c r="F39" s="23"/>
      <c r="G39" s="23"/>
      <c r="H39" s="24"/>
      <c r="I39" s="21"/>
      <c r="J39" s="25"/>
      <c r="K39" s="25"/>
      <c r="L39" s="26"/>
      <c r="M39" s="21"/>
    </row>
    <row r="40" customFormat="false" ht="27.75" hidden="false" customHeight="true" outlineLevel="0" collapsed="false">
      <c r="A40" s="19"/>
      <c r="B40" s="20"/>
      <c r="C40" s="21"/>
      <c r="D40" s="20"/>
      <c r="E40" s="22"/>
      <c r="F40" s="23"/>
      <c r="G40" s="23"/>
      <c r="H40" s="24"/>
      <c r="I40" s="21"/>
      <c r="J40" s="25"/>
      <c r="K40" s="25"/>
      <c r="L40" s="26"/>
      <c r="M40" s="21"/>
    </row>
    <row r="41" customFormat="false" ht="48.75" hidden="false" customHeight="true" outlineLevel="0" collapsed="false"/>
    <row r="42" customFormat="false" ht="48.75" hidden="false" customHeight="true" outlineLevel="0" collapsed="false"/>
    <row r="43" customFormat="false" ht="48.75" hidden="false" customHeight="true" outlineLevel="0" collapsed="false"/>
    <row r="44" customFormat="false" ht="48.75" hidden="false" customHeight="true" outlineLevel="0" collapsed="false"/>
    <row r="45" customFormat="false" ht="48.75" hidden="false" customHeight="true" outlineLevel="0" collapsed="false"/>
    <row r="46" customFormat="false" ht="48.75" hidden="false" customHeight="true" outlineLevel="0" collapsed="false"/>
    <row r="47" customFormat="false" ht="48.75" hidden="false" customHeight="true" outlineLevel="0" collapsed="false"/>
    <row r="48" customFormat="false" ht="48.75" hidden="false" customHeight="true" outlineLevel="0" collapsed="false"/>
    <row r="49" customFormat="false" ht="48.75" hidden="false" customHeight="true" outlineLevel="0" collapsed="false"/>
    <row r="50" customFormat="false" ht="48.75" hidden="false" customHeight="true" outlineLevel="0" collapsed="false"/>
    <row r="51" customFormat="false" ht="48.75" hidden="false" customHeight="true" outlineLevel="0" collapsed="false"/>
    <row r="52" customFormat="false" ht="48.75" hidden="false" customHeight="true" outlineLevel="0" collapsed="false"/>
    <row r="53" customFormat="false" ht="48.75" hidden="false" customHeight="true" outlineLevel="0" collapsed="false"/>
    <row r="54" customFormat="false" ht="48.75" hidden="false" customHeight="true" outlineLevel="0" collapsed="false"/>
    <row r="55" customFormat="false" ht="48.75" hidden="false" customHeight="true" outlineLevel="0" collapsed="false"/>
    <row r="56" customFormat="false" ht="48.75" hidden="false" customHeight="true" outlineLevel="0" collapsed="false"/>
    <row r="57" customFormat="false" ht="48.75" hidden="false" customHeight="true" outlineLevel="0" collapsed="false"/>
    <row r="58" customFormat="false" ht="48.75" hidden="false" customHeight="true" outlineLevel="0" collapsed="false"/>
    <row r="59" customFormat="false" ht="48.75" hidden="false" customHeight="true" outlineLevel="0" collapsed="false"/>
    <row r="60" customFormat="false" ht="48.75" hidden="false" customHeight="true" outlineLevel="0" collapsed="false"/>
    <row r="61" customFormat="false" ht="48.75" hidden="false" customHeight="true" outlineLevel="0" collapsed="false"/>
    <row r="62" customFormat="false" ht="48.75" hidden="false" customHeight="true" outlineLevel="0" collapsed="false"/>
    <row r="63" customFormat="false" ht="48.75" hidden="false" customHeight="true" outlineLevel="0" collapsed="false"/>
    <row r="64" customFormat="false" ht="48.75" hidden="false" customHeight="true" outlineLevel="0" collapsed="false"/>
    <row r="65" customFormat="false" ht="48.75" hidden="false" customHeight="true" outlineLevel="0" collapsed="false"/>
    <row r="66" customFormat="false" ht="48.75" hidden="false" customHeight="true" outlineLevel="0" collapsed="false"/>
    <row r="67" customFormat="false" ht="48.75" hidden="false" customHeight="true" outlineLevel="0" collapsed="false"/>
    <row r="68" customFormat="false" ht="48.75" hidden="false" customHeight="true" outlineLevel="0" collapsed="false"/>
    <row r="69" customFormat="false" ht="48.75" hidden="false" customHeight="true" outlineLevel="0" collapsed="false"/>
    <row r="70" customFormat="false" ht="48.75" hidden="false" customHeight="true" outlineLevel="0" collapsed="false"/>
    <row r="71" customFormat="false" ht="48.75" hidden="false" customHeight="true" outlineLevel="0" collapsed="false"/>
    <row r="72" customFormat="false" ht="48.75" hidden="false" customHeight="true" outlineLevel="0" collapsed="false"/>
    <row r="73" customFormat="false" ht="48.75" hidden="false" customHeight="true" outlineLevel="0" collapsed="false"/>
    <row r="74" customFormat="false" ht="48.75" hidden="false" customHeight="true" outlineLevel="0" collapsed="false"/>
    <row r="75" customFormat="false" ht="48.75" hidden="false" customHeight="true" outlineLevel="0" collapsed="false"/>
    <row r="76" customFormat="false" ht="48.75" hidden="false" customHeight="true" outlineLevel="0" collapsed="false"/>
    <row r="77" customFormat="false" ht="48.75" hidden="false" customHeight="true" outlineLevel="0" collapsed="false"/>
    <row r="78" customFormat="false" ht="48.75" hidden="false" customHeight="true" outlineLevel="0" collapsed="false"/>
    <row r="79" customFormat="false" ht="48.75" hidden="false" customHeight="true" outlineLevel="0" collapsed="false"/>
    <row r="80" customFormat="false" ht="48.75" hidden="false" customHeight="true" outlineLevel="0" collapsed="false"/>
    <row r="81" customFormat="false" ht="48.75" hidden="false" customHeight="true" outlineLevel="0" collapsed="false"/>
    <row r="82" customFormat="false" ht="48.75" hidden="false" customHeight="true" outlineLevel="0" collapsed="false"/>
    <row r="83" customFormat="false" ht="48.75" hidden="false" customHeight="true" outlineLevel="0" collapsed="false"/>
    <row r="84" customFormat="false" ht="48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5">
    <mergeCell ref="A1:B4"/>
    <mergeCell ref="C1:L1"/>
    <mergeCell ref="M1:M4"/>
    <mergeCell ref="C2:L2"/>
    <mergeCell ref="C3:L3"/>
    <mergeCell ref="C4:L4"/>
    <mergeCell ref="A5:M5"/>
    <mergeCell ref="A6:M6"/>
    <mergeCell ref="A7:B7"/>
    <mergeCell ref="C7:M7"/>
    <mergeCell ref="A8:B8"/>
    <mergeCell ref="C8:M8"/>
    <mergeCell ref="A9:B9"/>
    <mergeCell ref="C9:M9"/>
    <mergeCell ref="A10:M10"/>
  </mergeCells>
  <conditionalFormatting sqref="C12:C40">
    <cfRule type="cellIs" priority="2" operator="equal" aboveAverage="0" equalAverage="0" bottom="0" percent="0" rank="0" text="" dxfId="0">
      <formula>"Positivo"</formula>
    </cfRule>
    <cfRule type="cellIs" priority="3" operator="equal" aboveAverage="0" equalAverage="0" bottom="0" percent="0" rank="0" text="" dxfId="1">
      <formula>"Negativo"</formula>
    </cfRule>
  </conditionalFormatting>
  <conditionalFormatting sqref="F12:F40">
    <cfRule type="cellIs" priority="4" operator="equal" aboveAverage="0" equalAverage="0" bottom="0" percent="0" rank="0" text="" dxfId="2">
      <formula>"Alta"</formula>
    </cfRule>
    <cfRule type="cellIs" priority="5" operator="equal" aboveAverage="0" equalAverage="0" bottom="0" percent="0" rank="0" text="" dxfId="3">
      <formula>"Média"</formula>
    </cfRule>
    <cfRule type="cellIs" priority="6" operator="equal" aboveAverage="0" equalAverage="0" bottom="0" percent="0" rank="0" text="" dxfId="4">
      <formula>"Baixa"</formula>
    </cfRule>
  </conditionalFormatting>
  <conditionalFormatting sqref="G12:G40">
    <cfRule type="cellIs" priority="7" operator="equal" aboveAverage="0" equalAverage="0" bottom="0" percent="0" rank="0" text="" dxfId="2">
      <formula>"Alto"</formula>
    </cfRule>
    <cfRule type="cellIs" priority="8" operator="equal" aboveAverage="0" equalAverage="0" bottom="0" percent="0" rank="0" text="" dxfId="3">
      <formula>"Médio"</formula>
    </cfRule>
    <cfRule type="cellIs" priority="9" operator="equal" aboveAverage="0" equalAverage="0" bottom="0" percent="0" rank="0" text="" dxfId="4">
      <formula>"Baixo"</formula>
    </cfRule>
  </conditionalFormatting>
  <conditionalFormatting sqref="H12:H40">
    <cfRule type="cellIs" priority="10" operator="equal" aboveAverage="0" equalAverage="0" bottom="0" percent="0" rank="0" text="" dxfId="5">
      <formula>"Baixa"</formula>
    </cfRule>
    <cfRule type="cellIs" priority="11" operator="equal" aboveAverage="0" equalAverage="0" bottom="0" percent="0" rank="0" text="" dxfId="6">
      <formula>"Média"</formula>
    </cfRule>
    <cfRule type="cellIs" priority="12" operator="equal" aboveAverage="0" equalAverage="0" bottom="0" percent="0" rank="0" text="" dxfId="7">
      <formula>"Alta"</formula>
    </cfRule>
  </conditionalFormatting>
  <dataValidations count="5">
    <dataValidation allowBlank="true" errorStyle="stop" operator="between" showDropDown="false" showErrorMessage="true" showInputMessage="false" sqref="M12:M40" type="list">
      <formula1>"Aberto,Fechado,Em Andamento"</formula1>
      <formula2>0</formula2>
    </dataValidation>
    <dataValidation allowBlank="true" errorStyle="stop" operator="between" showDropDown="false" showErrorMessage="false" showInputMessage="false" sqref="C12:C40" type="list">
      <formula1>"Positivo,Negativo"</formula1>
      <formula2>0</formula2>
    </dataValidation>
    <dataValidation allowBlank="true" errorStyle="stop" operator="between" showDropDown="false" showErrorMessage="false" showInputMessage="false" sqref="G12:G40" type="list">
      <formula1>"Baixo,Médio,Alto"</formula1>
      <formula2>0</formula2>
    </dataValidation>
    <dataValidation allowBlank="true" errorStyle="stop" operator="between" showDropDown="false" showErrorMessage="false" showInputMessage="false" sqref="F12:F40" type="list">
      <formula1>"Baixa,Média,Alta"</formula1>
      <formula2>0</formula2>
    </dataValidation>
    <dataValidation allowBlank="true" errorStyle="stop" operator="between" showDropDown="false" showErrorMessage="true" showInputMessage="false" sqref="I12:I40" type="list">
      <formula1>"Aceitar,Mitigar,Eliminar,Transferir,Explorar,Compartilhar,Melhorar"</formula1>
      <formula2>0</formula2>
    </dataValidation>
  </dataValidations>
  <printOptions headings="false" gridLines="false" gridLinesSet="true" horizontalCentered="false" verticalCentered="false"/>
  <pageMargins left="0.24375" right="0.243055555555556" top="0.695833333333333" bottom="0.331944444444444" header="0" footer="0"/>
  <pageSetup paperSize="9" scale="51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6" min="1" style="1" width="11.57"/>
    <col collapsed="false" customWidth="true" hidden="false" outlineLevel="0" max="1025" min="27" style="1" width="14.42"/>
  </cols>
  <sheetData>
    <row r="1" customFormat="false" ht="12.75" hidden="false" customHeight="true" outlineLevel="0" collapsed="false">
      <c r="A1" s="27" t="s">
        <v>74</v>
      </c>
      <c r="B1" s="27"/>
      <c r="C1" s="27"/>
      <c r="D1" s="27"/>
      <c r="E1" s="27"/>
    </row>
    <row r="2" customFormat="false" ht="26.25" hidden="false" customHeight="true" outlineLevel="0" collapsed="false">
      <c r="A2" s="28" t="s">
        <v>13</v>
      </c>
      <c r="B2" s="28"/>
      <c r="C2" s="28"/>
      <c r="D2" s="28"/>
      <c r="E2" s="28"/>
    </row>
    <row r="3" customFormat="false" ht="44.25" hidden="false" customHeight="true" outlineLevel="0" collapsed="false">
      <c r="A3" s="29" t="s">
        <v>75</v>
      </c>
      <c r="B3" s="30"/>
      <c r="C3" s="31" t="s">
        <v>76</v>
      </c>
      <c r="D3" s="31" t="s">
        <v>40</v>
      </c>
      <c r="E3" s="32" t="s">
        <v>25</v>
      </c>
    </row>
    <row r="4" customFormat="false" ht="44.25" hidden="false" customHeight="true" outlineLevel="0" collapsed="false">
      <c r="A4" s="29"/>
      <c r="B4" s="33" t="s">
        <v>59</v>
      </c>
      <c r="C4" s="34" t="s">
        <v>59</v>
      </c>
      <c r="D4" s="35" t="s">
        <v>59</v>
      </c>
      <c r="E4" s="36" t="s">
        <v>33</v>
      </c>
    </row>
    <row r="5" customFormat="false" ht="38.25" hidden="false" customHeight="true" outlineLevel="0" collapsed="false">
      <c r="A5" s="29"/>
      <c r="B5" s="33" t="s">
        <v>33</v>
      </c>
      <c r="C5" s="37" t="s">
        <v>59</v>
      </c>
      <c r="D5" s="38" t="s">
        <v>33</v>
      </c>
      <c r="E5" s="39" t="s">
        <v>24</v>
      </c>
    </row>
    <row r="6" customFormat="false" ht="38.25" hidden="false" customHeight="true" outlineLevel="0" collapsed="false">
      <c r="A6" s="29"/>
      <c r="B6" s="40" t="s">
        <v>24</v>
      </c>
      <c r="C6" s="41" t="s">
        <v>33</v>
      </c>
      <c r="D6" s="42" t="s">
        <v>24</v>
      </c>
      <c r="E6" s="43" t="s">
        <v>24</v>
      </c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E1"/>
    <mergeCell ref="A2:E2"/>
    <mergeCell ref="A3:A6"/>
  </mergeCells>
  <conditionalFormatting sqref="C4:E6">
    <cfRule type="cellIs" priority="2" operator="equal" aboveAverage="0" equalAverage="0" bottom="0" percent="0" rank="0" text="" dxfId="0">
      <formula>"Baixa"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2">
      <formula>"Alta"</formula>
    </cfRule>
  </conditionalFormatting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2021-01-17T20:40:05Z</dcterms:created>
  <dc:creator>I5</dc:creator>
  <dc:description/>
  <dc:language>pt-BR</dc:language>
  <cp:lastModifiedBy/>
  <dcterms:modified xsi:type="dcterms:W3CDTF">2026-04-07T20:20:34Z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